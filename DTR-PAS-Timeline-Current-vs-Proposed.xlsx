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Data" sheetId="1" state="visible" r:id="rId3"/>
    <sheet name="Gantt Ch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<sst xmlns="http://schemas.openxmlformats.org/spreadsheetml/2006/main" count="57" uniqueCount="25">
  <si>
    <t xml:space="preserve">Task</t>
  </si>
  <si>
    <t xml:space="preserve">Section</t>
  </si>
  <si>
    <t xml:space="preserve">Schedule</t>
  </si>
  <si>
    <t xml:space="preserve">Start Date</t>
  </si>
  <si>
    <t xml:space="preserve">End Date</t>
  </si>
  <si>
    <t xml:space="preserve">Duration (days)</t>
  </si>
  <si>
    <t xml:space="preserve">Start Shift (days)</t>
  </si>
  <si>
    <t xml:space="preserve">End Shift (days)</t>
  </si>
  <si>
    <t xml:space="preserve">New DTR Development</t>
  </si>
  <si>
    <t xml:space="preserve">Development</t>
  </si>
  <si>
    <t xml:space="preserve">Current</t>
  </si>
  <si>
    <t xml:space="preserve">Proposed</t>
  </si>
  <si>
    <t xml:space="preserve">PAS with DTR Development</t>
  </si>
  <si>
    <t xml:space="preserve">NEW DTR - Redirecting to PAS response (Internal E2E)</t>
  </si>
  <si>
    <t xml:space="preserve">E2E &amp; Testing</t>
  </si>
  <si>
    <t xml:space="preserve">Client UAT NEW DTR - Redirecting to PAS response</t>
  </si>
  <si>
    <t xml:space="preserve">PAS for Internal E2E validation (with CES &amp; HOS)</t>
  </si>
  <si>
    <t xml:space="preserve">PAS Client UAT start date with complete scope</t>
  </si>
  <si>
    <t xml:space="preserve">UAT &amp; Deployment</t>
  </si>
  <si>
    <t xml:space="preserve">Go Live</t>
  </si>
  <si>
    <t xml:space="preserve">How to use this sheet:</t>
  </si>
  <si>
    <t xml:space="preserve">Edit the yellow 'Proposed' Start/End Date cells to model a new schedule.</t>
  </si>
  <si>
    <t xml:space="preserve">Start Shift / End Shift show the difference (days) vs. the Current schedule (positive = later, negative = earlier).</t>
  </si>
  <si>
    <t xml:space="preserve">The Gantt Chart tab shows Current bars in blue and Proposed bars in orange for direct comparison.</t>
  </si>
  <si>
    <t xml:space="preserve">Legend: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</si>
</sst>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d&quot;, &quot;yyyy"/>
    <numFmt numFmtId="166" formatCode="mmm\ 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CE4D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Timeline: Current vs Proposed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"Start (offset)"</c:f>
              <c:strCache>
                <c:ptCount val="1"/>
                <c:pt idx="0">
                  <c:v>Start (offset)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Data'!$A$2:$A$15</c:f>
              <c:strCache>
                <c:ptCount val="14"/>
                <c:pt idx="0">
                  <c:v>New DTR Development</c:v>
                </c:pt>
                <c:pt idx="1">
                  <c:v>New DTR Development</c:v>
                </c:pt>
                <c:pt idx="2">
                  <c:v>PAS with DTR Development</c:v>
                </c:pt>
                <c:pt idx="3">
                  <c:v>PAS with DTR Development</c:v>
                </c:pt>
                <c:pt idx="4">
                  <c:v>NEW DTR - Redirecting to PAS response (Internal E2E)</c:v>
                </c:pt>
                <c:pt idx="5">
                  <c:v>NEW DTR - Redirecting to PAS response (Internal E2E)</c:v>
                </c:pt>
                <c:pt idx="6">
                  <c:v>Client UAT NEW DTR - Redirecting to PAS response</c:v>
                </c:pt>
                <c:pt idx="7">
                  <c:v>Client UAT NEW DTR - Redirecting to PAS response</c:v>
                </c:pt>
                <c:pt idx="8">
                  <c:v>PAS for Internal E2E validation (with CES &amp; HOS)</c:v>
                </c:pt>
                <c:pt idx="9">
                  <c:v>PAS for Internal E2E validation (with CES &amp; HOS)</c:v>
                </c:pt>
                <c:pt idx="10">
                  <c:v>PAS Client UAT start date with complete scope</c:v>
                </c:pt>
                <c:pt idx="11">
                  <c:v>PAS Client UAT start date with complete scope</c:v>
                </c:pt>
                <c:pt idx="12">
                  <c:v>Go Live</c:v>
                </c:pt>
                <c:pt idx="13">
                  <c:v>Go Live</c:v>
                </c:pt>
              </c:strCache>
            </c:strRef>
          </c:cat>
          <c:val>
            <c:numRef>
              <c:f>'Gantt Data'!$D$2:$D$15</c:f>
              <c:numCache>
                <c:formatCode>mmm\ dd", "yyyy</c:formatCode>
                <c:ptCount val="14"/>
                <c:pt idx="0">
                  <c:v>46237</c:v>
                </c:pt>
                <c:pt idx="1">
                  <c:v>46237</c:v>
                </c:pt>
                <c:pt idx="2">
                  <c:v>46246</c:v>
                </c:pt>
                <c:pt idx="3">
                  <c:v>46246</c:v>
                </c:pt>
                <c:pt idx="4">
                  <c:v>46300</c:v>
                </c:pt>
                <c:pt idx="5">
                  <c:v>46300</c:v>
                </c:pt>
                <c:pt idx="6">
                  <c:v>46307</c:v>
                </c:pt>
                <c:pt idx="7">
                  <c:v>46307</c:v>
                </c:pt>
                <c:pt idx="8">
                  <c:v>46311</c:v>
                </c:pt>
                <c:pt idx="9">
                  <c:v>46311</c:v>
                </c:pt>
                <c:pt idx="10">
                  <c:v>46336</c:v>
                </c:pt>
                <c:pt idx="11">
                  <c:v>46336</c:v>
                </c:pt>
                <c:pt idx="12">
                  <c:v>46354</c:v>
                </c:pt>
                <c:pt idx="13">
                  <c:v>46354</c:v>
                </c:pt>
              </c:numCache>
            </c:numRef>
          </c:val>
        </c:ser>
        <c:ser>
          <c:idx val="1"/>
          <c:order val="1"/>
          <c:tx>
            <c:strRef>
              <c:f>"Duration"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Data'!$A$2:$A$15</c:f>
              <c:strCache>
                <c:ptCount val="14"/>
                <c:pt idx="0">
                  <c:v>New DTR Development</c:v>
                </c:pt>
                <c:pt idx="1">
                  <c:v>New DTR Development</c:v>
                </c:pt>
                <c:pt idx="2">
                  <c:v>PAS with DTR Development</c:v>
                </c:pt>
                <c:pt idx="3">
                  <c:v>PAS with DTR Development</c:v>
                </c:pt>
                <c:pt idx="4">
                  <c:v>NEW DTR - Redirecting to PAS response (Internal E2E)</c:v>
                </c:pt>
                <c:pt idx="5">
                  <c:v>NEW DTR - Redirecting to PAS response (Internal E2E)</c:v>
                </c:pt>
                <c:pt idx="6">
                  <c:v>Client UAT NEW DTR - Redirecting to PAS response</c:v>
                </c:pt>
                <c:pt idx="7">
                  <c:v>Client UAT NEW DTR - Redirecting to PAS response</c:v>
                </c:pt>
                <c:pt idx="8">
                  <c:v>PAS for Internal E2E validation (with CES &amp; HOS)</c:v>
                </c:pt>
                <c:pt idx="9">
                  <c:v>PAS for Internal E2E validation (with CES &amp; HOS)</c:v>
                </c:pt>
                <c:pt idx="10">
                  <c:v>PAS Client UAT start date with complete scope</c:v>
                </c:pt>
                <c:pt idx="11">
                  <c:v>PAS Client UAT start date with complete scope</c:v>
                </c:pt>
                <c:pt idx="12">
                  <c:v>Go Live</c:v>
                </c:pt>
                <c:pt idx="13">
                  <c:v>Go Live</c:v>
                </c:pt>
              </c:strCache>
            </c:strRef>
          </c:cat>
          <c:val>
            <c:numRef>
              <c:f>'Gantt Data'!$F$2:$F$15</c:f>
              <c:numCache>
                <c:formatCode>General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91</c:v>
                </c:pt>
                <c:pt idx="3">
                  <c:v>91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29</c:v>
                </c:pt>
                <c:pt idx="9">
                  <c:v>29</c:v>
                </c:pt>
                <c:pt idx="10">
                  <c:v>18</c:v>
                </c:pt>
                <c:pt idx="11">
                  <c:v>18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gapWidth val="40"/>
        <c:overlap val="100"/>
        <c:axId val="8026004"/>
        <c:axId val="84265562"/>
      </c:barChart>
      <c:catAx>
        <c:axId val="80260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65562"/>
        <c:crosses val="max"/>
        <c:auto val="1"/>
        <c:lblAlgn val="ctr"/>
        <c:lblOffset val="100"/>
        <c:noMultiLvlLbl val="0"/>
      </c:catAx>
      <c:valAx>
        <c:axId val="84265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 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6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18</xdr:col>
      <xdr:colOff>404280</xdr:colOff>
      <xdr:row>31</xdr:row>
      <xdr:rowOff>44640</xdr:rowOff>
    </xdr:to>
    <xdr:graphicFrame>
      <xdr:nvGraphicFramePr>
        <xdr:cNvPr id="0" name="Chart 1"/>
        <xdr:cNvGraphicFramePr/>
      </xdr:nvGraphicFramePr>
      <xdr:xfrm>
        <a:off x="611640" y="190440"/>
        <a:ext cx="1079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7" min="6" style="0" width="15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46237</v>
      </c>
      <c r="E2" s="3" t="n">
        <v>46336</v>
      </c>
      <c r="F2" s="2" t="n">
        <f aca="false">E2-D2+1</f>
        <v>100</v>
      </c>
      <c r="G2" s="4"/>
      <c r="H2" s="4"/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11</v>
      </c>
      <c r="D3" s="5" t="n">
        <v>46237</v>
      </c>
      <c r="E3" s="5" t="n">
        <v>46336</v>
      </c>
      <c r="F3" s="2" t="n">
        <f aca="false">E3-D3+1</f>
        <v>100</v>
      </c>
      <c r="G3" s="2" t="n">
        <f aca="false">D3-D2</f>
        <v>0</v>
      </c>
      <c r="H3" s="2" t="n">
        <f aca="false">E3-E2</f>
        <v>0</v>
      </c>
    </row>
    <row r="4" customFormat="false" ht="15" hidden="false" customHeight="false" outlineLevel="0" collapsed="false">
      <c r="A4" s="2" t="s">
        <v>12</v>
      </c>
      <c r="B4" s="2" t="s">
        <v>9</v>
      </c>
      <c r="C4" s="2" t="s">
        <v>10</v>
      </c>
      <c r="D4" s="3" t="n">
        <v>46246</v>
      </c>
      <c r="E4" s="3" t="n">
        <v>46336</v>
      </c>
      <c r="F4" s="2" t="n">
        <f aca="false">E4-D4+1</f>
        <v>91</v>
      </c>
      <c r="G4" s="4"/>
      <c r="H4" s="4"/>
    </row>
    <row r="5" customFormat="false" ht="15" hidden="false" customHeight="false" outlineLevel="0" collapsed="false">
      <c r="A5" s="2" t="s">
        <v>12</v>
      </c>
      <c r="B5" s="2" t="s">
        <v>9</v>
      </c>
      <c r="C5" s="2" t="s">
        <v>11</v>
      </c>
      <c r="D5" s="5" t="n">
        <v>46246</v>
      </c>
      <c r="E5" s="5" t="n">
        <v>46336</v>
      </c>
      <c r="F5" s="2" t="n">
        <f aca="false">E5-D5+1</f>
        <v>91</v>
      </c>
      <c r="G5" s="2" t="n">
        <f aca="false">D5-D4</f>
        <v>0</v>
      </c>
      <c r="H5" s="2" t="n">
        <f aca="false">E5-E4</f>
        <v>0</v>
      </c>
    </row>
    <row r="6" customFormat="false" ht="15" hidden="false" customHeight="false" outlineLevel="0" collapsed="false">
      <c r="A6" s="6" t="s">
        <v>13</v>
      </c>
      <c r="B6" s="6" t="s">
        <v>14</v>
      </c>
      <c r="C6" s="6" t="s">
        <v>10</v>
      </c>
      <c r="D6" s="3" t="n">
        <v>46300</v>
      </c>
      <c r="E6" s="3" t="n">
        <v>46304</v>
      </c>
      <c r="F6" s="6" t="n">
        <f aca="false">E6-D6+1</f>
        <v>5</v>
      </c>
      <c r="G6" s="7"/>
      <c r="H6" s="7"/>
    </row>
    <row r="7" customFormat="false" ht="15" hidden="false" customHeight="false" outlineLevel="0" collapsed="false">
      <c r="A7" s="6" t="s">
        <v>13</v>
      </c>
      <c r="B7" s="6" t="s">
        <v>14</v>
      </c>
      <c r="C7" s="6" t="s">
        <v>11</v>
      </c>
      <c r="D7" s="5" t="n">
        <v>46300</v>
      </c>
      <c r="E7" s="5" t="n">
        <v>46304</v>
      </c>
      <c r="F7" s="6" t="n">
        <f aca="false">E7-D7+1</f>
        <v>5</v>
      </c>
      <c r="G7" s="6" t="n">
        <f aca="false">D7-D6</f>
        <v>0</v>
      </c>
      <c r="H7" s="6" t="n">
        <f aca="false">E7-E6</f>
        <v>0</v>
      </c>
    </row>
    <row r="8" customFormat="false" ht="15" hidden="false" customHeight="false" outlineLevel="0" collapsed="false">
      <c r="A8" s="6" t="s">
        <v>15</v>
      </c>
      <c r="B8" s="6" t="s">
        <v>14</v>
      </c>
      <c r="C8" s="6" t="s">
        <v>10</v>
      </c>
      <c r="D8" s="3" t="n">
        <v>46307</v>
      </c>
      <c r="E8" s="3" t="n">
        <v>46311</v>
      </c>
      <c r="F8" s="6" t="n">
        <f aca="false">E8-D8+1</f>
        <v>5</v>
      </c>
      <c r="G8" s="7"/>
      <c r="H8" s="7"/>
    </row>
    <row r="9" customFormat="false" ht="15" hidden="false" customHeight="false" outlineLevel="0" collapsed="false">
      <c r="A9" s="6" t="s">
        <v>15</v>
      </c>
      <c r="B9" s="6" t="s">
        <v>14</v>
      </c>
      <c r="C9" s="6" t="s">
        <v>11</v>
      </c>
      <c r="D9" s="5" t="n">
        <v>46307</v>
      </c>
      <c r="E9" s="5" t="n">
        <v>46311</v>
      </c>
      <c r="F9" s="6" t="n">
        <f aca="false">E9-D9+1</f>
        <v>5</v>
      </c>
      <c r="G9" s="6" t="n">
        <f aca="false">D9-D8</f>
        <v>0</v>
      </c>
      <c r="H9" s="6" t="n">
        <f aca="false">E9-E8</f>
        <v>0</v>
      </c>
    </row>
    <row r="10" customFormat="false" ht="15" hidden="false" customHeight="false" outlineLevel="0" collapsed="false">
      <c r="A10" s="6" t="s">
        <v>16</v>
      </c>
      <c r="B10" s="6" t="s">
        <v>14</v>
      </c>
      <c r="C10" s="6" t="s">
        <v>10</v>
      </c>
      <c r="D10" s="3" t="n">
        <v>46311</v>
      </c>
      <c r="E10" s="3" t="n">
        <v>46339</v>
      </c>
      <c r="F10" s="6" t="n">
        <f aca="false">E10-D10+1</f>
        <v>29</v>
      </c>
      <c r="G10" s="7"/>
      <c r="H10" s="7"/>
    </row>
    <row r="11" customFormat="false" ht="15" hidden="false" customHeight="false" outlineLevel="0" collapsed="false">
      <c r="A11" s="6" t="s">
        <v>16</v>
      </c>
      <c r="B11" s="6" t="s">
        <v>14</v>
      </c>
      <c r="C11" s="6" t="s">
        <v>11</v>
      </c>
      <c r="D11" s="5" t="n">
        <v>46311</v>
      </c>
      <c r="E11" s="5" t="n">
        <v>46339</v>
      </c>
      <c r="F11" s="6" t="n">
        <f aca="false">E11-D11+1</f>
        <v>29</v>
      </c>
      <c r="G11" s="6" t="n">
        <f aca="false">D11-D10</f>
        <v>0</v>
      </c>
      <c r="H11" s="6" t="n">
        <f aca="false">E11-E10</f>
        <v>0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10</v>
      </c>
      <c r="D12" s="3" t="n">
        <v>46336</v>
      </c>
      <c r="E12" s="3" t="n">
        <v>46353</v>
      </c>
      <c r="F12" s="8" t="n">
        <f aca="false">E12-D12+1</f>
        <v>18</v>
      </c>
      <c r="G12" s="9"/>
      <c r="H12" s="9"/>
    </row>
    <row r="13" customFormat="false" ht="15" hidden="false" customHeight="false" outlineLevel="0" collapsed="false">
      <c r="A13" s="8" t="s">
        <v>17</v>
      </c>
      <c r="B13" s="8" t="s">
        <v>18</v>
      </c>
      <c r="C13" s="8" t="s">
        <v>11</v>
      </c>
      <c r="D13" s="5" t="n">
        <v>46336</v>
      </c>
      <c r="E13" s="5" t="n">
        <v>46353</v>
      </c>
      <c r="F13" s="8" t="n">
        <f aca="false">E13-D13+1</f>
        <v>18</v>
      </c>
      <c r="G13" s="8" t="n">
        <f aca="false">D13-D12</f>
        <v>0</v>
      </c>
      <c r="H13" s="8" t="n">
        <f aca="false">E13-E12</f>
        <v>0</v>
      </c>
    </row>
    <row r="14" customFormat="false" ht="15" hidden="false" customHeight="false" outlineLevel="0" collapsed="false">
      <c r="A14" s="8" t="s">
        <v>19</v>
      </c>
      <c r="B14" s="8" t="s">
        <v>18</v>
      </c>
      <c r="C14" s="8" t="s">
        <v>10</v>
      </c>
      <c r="D14" s="3" t="n">
        <v>46354</v>
      </c>
      <c r="E14" s="3" t="n">
        <v>46354</v>
      </c>
      <c r="F14" s="8" t="n">
        <f aca="false">E14-D14+1</f>
        <v>1</v>
      </c>
      <c r="G14" s="9"/>
      <c r="H14" s="9"/>
    </row>
    <row r="15" customFormat="false" ht="15" hidden="false" customHeight="false" outlineLevel="0" collapsed="false">
      <c r="A15" s="8" t="s">
        <v>19</v>
      </c>
      <c r="B15" s="8" t="s">
        <v>18</v>
      </c>
      <c r="C15" s="8" t="s">
        <v>11</v>
      </c>
      <c r="D15" s="5" t="n">
        <v>46354</v>
      </c>
      <c r="E15" s="5" t="n">
        <v>46354</v>
      </c>
      <c r="F15" s="8" t="n">
        <f aca="false">E15-D15+1</f>
        <v>1</v>
      </c>
      <c r="G15" s="8" t="n">
        <f aca="false">D15-D14</f>
        <v>0</v>
      </c>
      <c r="H15" s="8" t="n">
        <f aca="false">E15-E14</f>
        <v>0</v>
      </c>
    </row>
    <row r="18" customFormat="false" ht="15" hidden="false" customHeight="false" outlineLevel="0" collapsed="false">
      <c r="A18" s="10" t="s">
        <v>20</v>
      </c>
    </row>
    <row r="19" customFormat="false" ht="15" hidden="false" customHeight="false" outlineLevel="0" collapsed="false">
      <c r="A19" s="11" t="s">
        <v>21</v>
      </c>
    </row>
    <row r="20" customFormat="false" ht="15" hidden="false" customHeight="false" outlineLevel="0" collapsed="false">
      <c r="A20" s="11" t="s">
        <v>22</v>
      </c>
    </row>
    <row r="21" customFormat="false" ht="15" hidden="false" customHeight="false" outlineLevel="0" collapsed="false">
      <c r="A21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7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37" customFormat="false" ht="15" hidden="false" customHeight="false" outlineLevel="0" collapsed="false">
      <c r="B37" s="10" t="s">
        <v>24</v>
      </c>
      <c r="C37" s="12" t="s">
        <v>10</v>
      </c>
      <c r="D37" s="1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2026-08-12T18:37:31Z</dcterms:created>
  <dc:creator>openpyxl</dc:creator>
  <dc:description/>
  <dc:language>en-US</dc:language>
  <cp:lastModifiedBy/>
  <dcterms:modified xsi:type="dcterms:W3CDTF">2026-08-12T18:37:50Z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